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24629d4809ba6c2/ドキュメント/GitHub/Excel-Report-Automator/data/"/>
    </mc:Choice>
  </mc:AlternateContent>
  <xr:revisionPtr revIDLastSave="66" documentId="11_F25DC773A252ABDACC1048C9415E56945BDE58EF" xr6:coauthVersionLast="47" xr6:coauthVersionMax="47" xr10:uidLastSave="{56CE5C9C-A3B8-49FB-9398-2EB759EA6BEE}"/>
  <bookViews>
    <workbookView xWindow="-120" yWindow="-120" windowWidth="20730" windowHeight="11760" xr2:uid="{00000000-000D-0000-FFFF-FFFF00000000}"/>
  </bookViews>
  <sheets>
    <sheet name="Sheet1" sheetId="1" r:id="rId1"/>
    <sheet name="商品リスト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E3" i="1"/>
  <c r="F3" i="1" s="1"/>
  <c r="E4" i="1"/>
  <c r="F4" i="1" s="1"/>
  <c r="E5" i="1"/>
  <c r="F5" i="1" s="1"/>
  <c r="E6" i="1"/>
  <c r="F6" i="1" s="1"/>
  <c r="E2" i="1"/>
  <c r="F2" i="1" s="1"/>
  <c r="C2" i="1"/>
</calcChain>
</file>

<file path=xl/sharedStrings.xml><?xml version="1.0" encoding="utf-8"?>
<sst xmlns="http://schemas.openxmlformats.org/spreadsheetml/2006/main" count="32" uniqueCount="22">
  <si>
    <t>注文日</t>
    <rPh sb="0" eb="3">
      <t>チュウモンビ</t>
    </rPh>
    <phoneticPr fontId="1"/>
  </si>
  <si>
    <t>商品名</t>
    <rPh sb="0" eb="3">
      <t>ショウヒンメイ</t>
    </rPh>
    <phoneticPr fontId="1"/>
  </si>
  <si>
    <t>カテゴリ</t>
    <phoneticPr fontId="1"/>
  </si>
  <si>
    <t>数量</t>
    <rPh sb="0" eb="2">
      <t>スウリョウ</t>
    </rPh>
    <phoneticPr fontId="1"/>
  </si>
  <si>
    <t>単価</t>
    <rPh sb="0" eb="2">
      <t>タンカ</t>
    </rPh>
    <phoneticPr fontId="1"/>
  </si>
  <si>
    <t>売上金額</t>
    <rPh sb="0" eb="2">
      <t>ウリアゲ</t>
    </rPh>
    <rPh sb="2" eb="4">
      <t>キンガク</t>
    </rPh>
    <phoneticPr fontId="1"/>
  </si>
  <si>
    <t>都道府県</t>
    <rPh sb="0" eb="4">
      <t>トドウフケン</t>
    </rPh>
    <phoneticPr fontId="1"/>
  </si>
  <si>
    <t>商品A</t>
    <rPh sb="0" eb="2">
      <t>ショウヒン</t>
    </rPh>
    <phoneticPr fontId="1"/>
  </si>
  <si>
    <t>商品B</t>
    <rPh sb="0" eb="2">
      <t>ショウヒン</t>
    </rPh>
    <phoneticPr fontId="1"/>
  </si>
  <si>
    <t>商品C</t>
    <rPh sb="0" eb="2">
      <t>ショウヒン</t>
    </rPh>
    <phoneticPr fontId="1"/>
  </si>
  <si>
    <t>商品D</t>
    <rPh sb="0" eb="2">
      <t>ショウヒン</t>
    </rPh>
    <phoneticPr fontId="1"/>
  </si>
  <si>
    <t>商品E</t>
    <rPh sb="0" eb="2">
      <t>ショウヒン</t>
    </rPh>
    <phoneticPr fontId="1"/>
  </si>
  <si>
    <t>商品F</t>
    <rPh sb="0" eb="2">
      <t>ショウヒン</t>
    </rPh>
    <phoneticPr fontId="1"/>
  </si>
  <si>
    <t>食品</t>
    <rPh sb="0" eb="2">
      <t>ショクヒン</t>
    </rPh>
    <phoneticPr fontId="1"/>
  </si>
  <si>
    <t>雑貨</t>
    <rPh sb="0" eb="2">
      <t>ザッカ</t>
    </rPh>
    <phoneticPr fontId="1"/>
  </si>
  <si>
    <t>家電</t>
    <rPh sb="0" eb="2">
      <t>カデン</t>
    </rPh>
    <phoneticPr fontId="1"/>
  </si>
  <si>
    <t>衣類</t>
    <rPh sb="0" eb="2">
      <t>イルイ</t>
    </rPh>
    <phoneticPr fontId="1"/>
  </si>
  <si>
    <t>福井県</t>
    <rPh sb="0" eb="3">
      <t>フクイケン</t>
    </rPh>
    <phoneticPr fontId="1"/>
  </si>
  <si>
    <t>大阪府</t>
    <rPh sb="0" eb="3">
      <t>オオサカフ</t>
    </rPh>
    <phoneticPr fontId="1"/>
  </si>
  <si>
    <t>北海道</t>
    <rPh sb="0" eb="3">
      <t>ホッカイドウ</t>
    </rPh>
    <phoneticPr fontId="1"/>
  </si>
  <si>
    <t>福岡県</t>
    <rPh sb="0" eb="3">
      <t>フクオカケン</t>
    </rPh>
    <phoneticPr fontId="1"/>
  </si>
  <si>
    <t>愛知県</t>
    <rPh sb="0" eb="3">
      <t>アイチケン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</si>
</sst>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[$-F800]dddd\,\ mmmm\ dd\,\ yyyy"/>
  </numFmts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9" fontId="0" fillId="0" borderId="0" xfId="0" applyNumberFormat="1"/>
  </cellXfs>
  <cellStyles count="1">
    <cellStyle name="標準" xfId="0" builtinId="0"/>
  </cellStyles>
  <dxfs count="1">
    <dxf>
      <numFmt numFmtId="179" formatCode="[$-F800]dddd\,\ mmmm\ dd\,\ 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AFC0B7-5051-47FD-8536-060EE269E744}" name="テーブル2" displayName="テーブル2" ref="A1:G6" totalsRowShown="0">
  <autoFilter ref="A1:G6" xr:uid="{D9AFC0B7-5051-47FD-8536-060EE269E744}"/>
  <sortState xmlns:xlrd2="http://schemas.microsoft.com/office/spreadsheetml/2017/richdata2" ref="A2:G6">
    <sortCondition ref="A1:A6"/>
  </sortState>
  <tableColumns count="7">
    <tableColumn id="1" xr3:uid="{4CE1DA0B-A6A5-4CDD-A645-87DBF6EF4BA4}" name="注文日" dataDxfId="0"/>
    <tableColumn id="2" xr3:uid="{9C128234-42FF-4C60-99E1-46E7C8E6CE1E}" name="商品名"/>
    <tableColumn id="3" xr3:uid="{A7110C21-59A9-4E89-A010-FAD6DD22B7BB}" name="カテゴリ">
      <calculatedColumnFormula>_xlfn.XLOOKUP($B2, テーブル1[商品名], テーブル1[カテゴリ], "該当なし")</calculatedColumnFormula>
    </tableColumn>
    <tableColumn id="4" xr3:uid="{E70B36B2-F507-4B56-9604-3344B93B1288}" name="数量"/>
    <tableColumn id="5" xr3:uid="{91189D6D-82FC-4CF6-9532-12C0EC996F9B}" name="単価">
      <calculatedColumnFormula>_xlfn.XLOOKUP($B2, テーブル1[商品名], テーブル1[単価], "該当なし")</calculatedColumnFormula>
    </tableColumn>
    <tableColumn id="6" xr3:uid="{AE7BB97C-2CAE-45AA-B1B7-67F4CF15C0F0}" name="売上金額">
      <calculatedColumnFormula>$D2*$E2</calculatedColumnFormula>
    </tableColumn>
    <tableColumn id="7" xr3:uid="{808C0670-B17A-430C-8C87-72647B6905FD}" name="都道府県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C9037B-A201-4831-9C67-0560E5299C8C}" name="テーブル1" displayName="テーブル1" ref="A1:C7" totalsRowShown="0">
  <autoFilter ref="A1:C7" xr:uid="{C9C9037B-A201-4831-9C67-0560E5299C8C}"/>
  <tableColumns count="3">
    <tableColumn id="1" xr3:uid="{639E114A-9867-4138-A6C1-DFA6A5B3BE43}" name="商品名"/>
    <tableColumn id="2" xr3:uid="{DAD9CDE5-CE89-4D87-A645-C214C47BA730}" name="カテゴリ"/>
    <tableColumn id="3" xr3:uid="{CBB2A44F-8491-45DB-977C-6E3F950BA935}" name="単価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H3" sqref="H3"/>
    </sheetView>
  </sheetViews>
  <sheetFormatPr defaultRowHeight="18.75" x14ac:dyDescent="0.4"/>
  <cols>
    <col min="1" max="1" width="13.5" bestFit="1" customWidth="1"/>
    <col min="3" max="3" width="10.25" customWidth="1"/>
    <col min="6" max="7" width="10.25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 s="1">
        <v>46113</v>
      </c>
      <c r="B2" t="s">
        <v>8</v>
      </c>
      <c r="C2" t="str">
        <f>_xlfn.XLOOKUP($B2, テーブル1[商品名], テーブル1[カテゴリ], "該当なし")</f>
        <v>雑貨</v>
      </c>
      <c r="D2">
        <v>2</v>
      </c>
      <c r="E2">
        <f>_xlfn.XLOOKUP($B2, テーブル1[商品名], テーブル1[単価], "該当なし")</f>
        <v>3000</v>
      </c>
      <c r="F2">
        <f>$D2*$E2</f>
        <v>6000</v>
      </c>
      <c r="G2" t="s">
        <v>17</v>
      </c>
    </row>
    <row r="3" spans="1:7" x14ac:dyDescent="0.4">
      <c r="A3" s="1">
        <v>46114</v>
      </c>
      <c r="B3" t="s">
        <v>7</v>
      </c>
      <c r="C3" t="str">
        <f>_xlfn.XLOOKUP($B3, テーブル1[商品名], テーブル1[カテゴリ], "該当なし")</f>
        <v>食品</v>
      </c>
      <c r="D3">
        <v>1</v>
      </c>
      <c r="E3">
        <f>_xlfn.XLOOKUP($B3, テーブル1[商品名], テーブル1[単価], "該当なし")</f>
        <v>1200</v>
      </c>
      <c r="F3">
        <f>$D3*$E3</f>
        <v>1200</v>
      </c>
      <c r="G3" t="s">
        <v>18</v>
      </c>
    </row>
    <row r="4" spans="1:7" x14ac:dyDescent="0.4">
      <c r="A4" s="1">
        <v>46115</v>
      </c>
      <c r="B4" t="s">
        <v>11</v>
      </c>
      <c r="C4" t="str">
        <f>_xlfn.XLOOKUP($B4, テーブル1[商品名], テーブル1[カテゴリ], "該当なし")</f>
        <v>衣類</v>
      </c>
      <c r="D4">
        <v>3</v>
      </c>
      <c r="E4">
        <f>_xlfn.XLOOKUP($B4, テーブル1[商品名], テーブル1[単価], "該当なし")</f>
        <v>5000</v>
      </c>
      <c r="F4">
        <f>$D4*$E4</f>
        <v>15000</v>
      </c>
      <c r="G4" t="s">
        <v>19</v>
      </c>
    </row>
    <row r="5" spans="1:7" x14ac:dyDescent="0.4">
      <c r="A5" s="1">
        <v>46116</v>
      </c>
      <c r="B5" t="s">
        <v>8</v>
      </c>
      <c r="C5" t="str">
        <f>_xlfn.XLOOKUP($B5, テーブル1[商品名], テーブル1[カテゴリ], "該当なし")</f>
        <v>雑貨</v>
      </c>
      <c r="D5">
        <v>7</v>
      </c>
      <c r="E5">
        <f>_xlfn.XLOOKUP($B5, テーブル1[商品名], テーブル1[単価], "該当なし")</f>
        <v>3000</v>
      </c>
      <c r="F5">
        <f>$D5*$E5</f>
        <v>21000</v>
      </c>
      <c r="G5" t="s">
        <v>20</v>
      </c>
    </row>
    <row r="6" spans="1:7" x14ac:dyDescent="0.4">
      <c r="A6" s="1">
        <v>46117</v>
      </c>
      <c r="B6" t="s">
        <v>12</v>
      </c>
      <c r="C6" t="str">
        <f>_xlfn.XLOOKUP($B6, テーブル1[商品名], テーブル1[カテゴリ], "該当なし")</f>
        <v>雑貨</v>
      </c>
      <c r="D6">
        <v>3</v>
      </c>
      <c r="E6">
        <f>_xlfn.XLOOKUP($B6, テーブル1[商品名], テーブル1[単価], "該当なし")</f>
        <v>2500</v>
      </c>
      <c r="F6">
        <f>$D6*$E6</f>
        <v>7500</v>
      </c>
      <c r="G6" t="s">
        <v>21</v>
      </c>
    </row>
  </sheetData>
  <phoneticPr fontId="1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A335520-4206-4744-B6F0-A3568998749A}">
          <x14:formula1>
            <xm:f>商品リスト!$A$2:$A$7</xm:f>
          </x14:formula1>
          <xm:sqref>B2:B6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256E2-6061-4235-8D35-4FE595D15C4F}">
  <dimension ref="A1:C7"/>
  <sheetViews>
    <sheetView workbookViewId="0">
      <selection activeCell="E6" sqref="E6"/>
    </sheetView>
  </sheetViews>
  <sheetFormatPr defaultRowHeight="18.75" x14ac:dyDescent="0.4"/>
  <cols>
    <col min="2" max="2" width="10.25" customWidth="1"/>
  </cols>
  <sheetData>
    <row r="1" spans="1:3" x14ac:dyDescent="0.4">
      <c r="A1" t="s">
        <v>1</v>
      </c>
      <c r="B1" t="s">
        <v>2</v>
      </c>
      <c r="C1" t="s">
        <v>4</v>
      </c>
    </row>
    <row r="2" spans="1:3" x14ac:dyDescent="0.4">
      <c r="A2" t="s">
        <v>7</v>
      </c>
      <c r="B2" t="s">
        <v>13</v>
      </c>
      <c r="C2">
        <v>1200</v>
      </c>
    </row>
    <row r="3" spans="1:3" x14ac:dyDescent="0.4">
      <c r="A3" t="s">
        <v>8</v>
      </c>
      <c r="B3" t="s">
        <v>14</v>
      </c>
      <c r="C3">
        <v>3000</v>
      </c>
    </row>
    <row r="4" spans="1:3" x14ac:dyDescent="0.4">
      <c r="A4" t="s">
        <v>9</v>
      </c>
      <c r="B4" t="s">
        <v>13</v>
      </c>
      <c r="C4">
        <v>800</v>
      </c>
    </row>
    <row r="5" spans="1:3" x14ac:dyDescent="0.4">
      <c r="A5" t="s">
        <v>10</v>
      </c>
      <c r="B5" t="s">
        <v>15</v>
      </c>
      <c r="C5">
        <v>15000</v>
      </c>
    </row>
    <row r="6" spans="1:3" x14ac:dyDescent="0.4">
      <c r="A6" t="s">
        <v>11</v>
      </c>
      <c r="B6" t="s">
        <v>16</v>
      </c>
      <c r="C6">
        <v>5000</v>
      </c>
    </row>
    <row r="7" spans="1:3" x14ac:dyDescent="0.4">
      <c r="A7" t="s">
        <v>12</v>
      </c>
      <c r="B7" t="s">
        <v>14</v>
      </c>
      <c r="C7">
        <v>2500</v>
      </c>
    </row>
  </sheetData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商品リスト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由人出口</dc:creator>
  <cp:lastModifiedBy>出口 由人</cp:lastModifiedBy>
  <dcterms:created xsi:type="dcterms:W3CDTF">2015-06-05T18:17:20Z</dcterms:created>
  <dcterms:modified xsi:type="dcterms:W3CDTF">2026-05-29T02:59:41Z</dcterms:modified>
</cp:coreProperties>
</file>